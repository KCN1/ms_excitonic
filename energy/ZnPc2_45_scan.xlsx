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ies_sc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<sst xmlns="http://schemas.openxmlformats.org/spreadsheetml/2006/main" count="1" uniqueCount="1">
  <si>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scan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</si>
</sst>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energies_scan!$F$2:$F$10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energies_scan!$G$2:$G$10</c:f>
              <c:numCache>
                <c:formatCode>General</c:formatCode>
                <c:ptCount val="9"/>
                <c:pt idx="0">
                  <c:v>-0.00678089390476089</c:v>
                </c:pt>
                <c:pt idx="1">
                  <c:v>-0.024454391915242</c:v>
                </c:pt>
                <c:pt idx="2">
                  <c:v>-0.0235810463191228</c:v>
                </c:pt>
                <c:pt idx="3">
                  <c:v>-0.0158071064379328</c:v>
                </c:pt>
                <c:pt idx="4">
                  <c:v>-0.00501642105336941</c:v>
                </c:pt>
                <c:pt idx="5">
                  <c:v>-0.00471118925270275</c:v>
                </c:pt>
                <c:pt idx="6">
                  <c:v>-0.00303934961812047</c:v>
                </c:pt>
                <c:pt idx="7">
                  <c:v>-0.00073214365511376</c:v>
                </c:pt>
                <c:pt idx="8">
                  <c:v>-5.48648695257725E-005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energies_scan!$F$2:$F$10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energies_scan!$H$2:$H$10</c:f>
              <c:numCache>
                <c:formatCode>General</c:formatCode>
                <c:ptCount val="9"/>
                <c:pt idx="0">
                  <c:v>0.000214793000000005</c:v>
                </c:pt>
                <c:pt idx="1">
                  <c:v>0.000136391999999999</c:v>
                </c:pt>
                <c:pt idx="2">
                  <c:v>0.000105788000000009</c:v>
                </c:pt>
                <c:pt idx="3">
                  <c:v>6.44659999999991E-005</c:v>
                </c:pt>
                <c:pt idx="4">
                  <c:v>2.50259999999974E-005</c:v>
                </c:pt>
                <c:pt idx="5">
                  <c:v>7.70900000000852E-006</c:v>
                </c:pt>
                <c:pt idx="6">
                  <c:v>2.94500000000419E-006</c:v>
                </c:pt>
                <c:pt idx="7">
                  <c:v>1.57000000000629E-007</c:v>
                </c:pt>
                <c:pt idx="8">
                  <c:v>9.99999999473644E-010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energies_scan!$F$2:$F$10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</c:numCache>
            </c:numRef>
          </c:xVal>
          <c:yVal>
            <c:numRef>
              <c:f>energies_scan!$I$2:$I$10</c:f>
              <c:numCache>
                <c:formatCode>General</c:formatCode>
                <c:ptCount val="9"/>
                <c:pt idx="0">
                  <c:v>-0.0309534</c:v>
                </c:pt>
                <c:pt idx="1">
                  <c:v>-0.028494461</c:v>
                </c:pt>
                <c:pt idx="2">
                  <c:v>-0.023329351</c:v>
                </c:pt>
                <c:pt idx="3">
                  <c:v>-0.018295179</c:v>
                </c:pt>
                <c:pt idx="4">
                  <c:v>-0.013289894</c:v>
                </c:pt>
                <c:pt idx="5">
                  <c:v>-0.007982871</c:v>
                </c:pt>
                <c:pt idx="6">
                  <c:v>-0.00371141</c:v>
                </c:pt>
                <c:pt idx="7">
                  <c:v>-0.00138503400000001</c:v>
                </c:pt>
                <c:pt idx="8">
                  <c:v>-0.000504898000000004</c:v>
                </c:pt>
              </c:numCache>
            </c:numRef>
          </c:yVal>
          <c:smooth val="0"/>
        </c:ser>
        <c:axId val="98637811"/>
        <c:axId val="77380604"/>
      </c:scatterChart>
      <c:valAx>
        <c:axId val="986378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380604"/>
        <c:crosses val="autoZero"/>
        <c:crossBetween val="between"/>
      </c:valAx>
      <c:valAx>
        <c:axId val="773806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63781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125280</xdr:colOff>
      <xdr:row>5</xdr:row>
      <xdr:rowOff>83880</xdr:rowOff>
    </xdr:from>
    <xdr:to>
      <xdr:col>17</xdr:col>
      <xdr:colOff>195120</xdr:colOff>
      <xdr:row>25</xdr:row>
      <xdr:rowOff>72360</xdr:rowOff>
    </xdr:to>
    <xdr:graphicFrame>
      <xdr:nvGraphicFramePr>
        <xdr:cNvPr id="0" name=""/>
        <xdr:cNvGraphicFramePr/>
      </xdr:nvGraphicFramePr>
      <xdr:xfrm>
        <a:off x="8249400" y="89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2.42"/>
    <col collapsed="false" customWidth="true" hidden="false" outlineLevel="0" max="3" min="3" style="0" width="11.86"/>
    <col collapsed="false" customWidth="true" hidden="false" outlineLevel="0" max="4" min="4" style="0" width="17.29"/>
  </cols>
  <sheetData>
    <row r="1" customFormat="false" ht="12.8" hidden="false" customHeight="false" outlineLevel="0" collapsed="false">
      <c r="A1" s="0" t="s">
        <v>0</v>
      </c>
      <c r="B1" s="0" t="n">
        <v>-0.036889871</v>
      </c>
      <c r="C1" s="0" t="n">
        <v>0.031558958</v>
      </c>
      <c r="D1" s="0" t="n">
        <v>-3446.2818570026</v>
      </c>
    </row>
    <row r="2" customFormat="false" ht="12.8" hidden="false" customHeight="false" outlineLevel="0" collapsed="false">
      <c r="A2" s="0" t="n">
        <v>0</v>
      </c>
      <c r="B2" s="0" t="n">
        <v>-0.104733142</v>
      </c>
      <c r="C2" s="0" t="n">
        <v>0.063332709</v>
      </c>
      <c r="D2" s="0" t="n">
        <v>-6892.6012335061</v>
      </c>
      <c r="F2" s="0" t="n">
        <f aca="false">A2/10</f>
        <v>0</v>
      </c>
      <c r="G2" s="0" t="n">
        <f aca="false">D2-C2-B2-2*(D$1-C$1-B$1)</f>
        <v>-0.00678089390476089</v>
      </c>
      <c r="H2" s="0" t="n">
        <f aca="false">C2-2*C$1</f>
        <v>0.000214793000000005</v>
      </c>
      <c r="I2" s="0" t="n">
        <f aca="false">B2-2*B$1</f>
        <v>-0.0309534</v>
      </c>
    </row>
    <row r="3" customFormat="false" ht="12.8" hidden="false" customHeight="false" outlineLevel="0" collapsed="false">
      <c r="A3" s="0" t="n">
        <v>20</v>
      </c>
      <c r="B3" s="0" t="n">
        <v>-0.102274203</v>
      </c>
      <c r="C3" s="0" t="n">
        <v>0.063254308</v>
      </c>
      <c r="D3" s="0" t="n">
        <v>-6892.61652646611</v>
      </c>
      <c r="F3" s="0" t="n">
        <f aca="false">A3/10</f>
        <v>2</v>
      </c>
      <c r="G3" s="0" t="n">
        <f aca="false">D3-C3-B3-2*(D$1-C$1-B$1)</f>
        <v>-0.024454391915242</v>
      </c>
      <c r="H3" s="0" t="n">
        <f aca="false">C3-2*C$1</f>
        <v>0.000136391999999999</v>
      </c>
      <c r="I3" s="0" t="n">
        <f aca="false">B3-2*B$1</f>
        <v>-0.028494461</v>
      </c>
    </row>
    <row r="4" customFormat="false" ht="12.8" hidden="false" customHeight="false" outlineLevel="0" collapsed="false">
      <c r="A4" s="0" t="n">
        <v>40</v>
      </c>
      <c r="B4" s="0" t="n">
        <v>-0.097109093</v>
      </c>
      <c r="C4" s="0" t="n">
        <v>0.063223704</v>
      </c>
      <c r="D4" s="0" t="n">
        <v>-6892.61051861451</v>
      </c>
      <c r="F4" s="0" t="n">
        <f aca="false">A4/10</f>
        <v>4</v>
      </c>
      <c r="G4" s="0" t="n">
        <f aca="false">D4-C4-B4-2*(D$1-C$1-B$1)</f>
        <v>-0.0235810463191228</v>
      </c>
      <c r="H4" s="0" t="n">
        <f aca="false">C4-2*C$1</f>
        <v>0.000105788000000009</v>
      </c>
      <c r="I4" s="0" t="n">
        <f aca="false">B4-2*B$1</f>
        <v>-0.023329351</v>
      </c>
    </row>
    <row r="5" customFormat="false" ht="12.8" hidden="false" customHeight="false" outlineLevel="0" collapsed="false">
      <c r="A5" s="0" t="n">
        <v>60</v>
      </c>
      <c r="B5" s="0" t="n">
        <v>-0.092074921</v>
      </c>
      <c r="C5" s="0" t="n">
        <v>0.063182382</v>
      </c>
      <c r="D5" s="0" t="n">
        <v>-6892.59775182463</v>
      </c>
      <c r="F5" s="0" t="n">
        <f aca="false">A5/10</f>
        <v>6</v>
      </c>
      <c r="G5" s="0" t="n">
        <f aca="false">D5-C5-B5-2*(D$1-C$1-B$1)</f>
        <v>-0.0158071064379328</v>
      </c>
      <c r="H5" s="0" t="n">
        <f aca="false">C5-2*C$1</f>
        <v>6.44659999999991E-005</v>
      </c>
      <c r="I5" s="0" t="n">
        <f aca="false">B5-2*B$1</f>
        <v>-0.018295179</v>
      </c>
    </row>
    <row r="6" customFormat="false" ht="12.8" hidden="false" customHeight="false" outlineLevel="0" collapsed="false">
      <c r="A6" s="0" t="n">
        <v>80</v>
      </c>
      <c r="B6" s="0" t="n">
        <v>-0.087069636</v>
      </c>
      <c r="C6" s="0" t="n">
        <v>0.063142942</v>
      </c>
      <c r="D6" s="0" t="n">
        <v>-6892.58199529425</v>
      </c>
      <c r="F6" s="0" t="n">
        <f aca="false">A6/10</f>
        <v>8</v>
      </c>
      <c r="G6" s="0" t="n">
        <f aca="false">D6-C6-B6-2*(D$1-C$1-B$1)</f>
        <v>-0.00501642105336941</v>
      </c>
      <c r="H6" s="0" t="n">
        <f aca="false">C6-2*C$1</f>
        <v>2.50259999999974E-005</v>
      </c>
      <c r="I6" s="0" t="n">
        <f aca="false">B6-2*B$1</f>
        <v>-0.013289894</v>
      </c>
    </row>
    <row r="7" customFormat="false" ht="12.8" hidden="false" customHeight="false" outlineLevel="0" collapsed="false">
      <c r="A7" s="0" t="n">
        <v>100</v>
      </c>
      <c r="B7" s="0" t="n">
        <v>-0.081762613</v>
      </c>
      <c r="C7" s="0" t="n">
        <v>0.063125625</v>
      </c>
      <c r="D7" s="0" t="n">
        <v>-6892.57640035645</v>
      </c>
      <c r="F7" s="0" t="n">
        <f aca="false">A7/10</f>
        <v>10</v>
      </c>
      <c r="G7" s="0" t="n">
        <f aca="false">D7-C7-B7-2*(D$1-C$1-B$1)</f>
        <v>-0.00471118925270275</v>
      </c>
      <c r="H7" s="0" t="n">
        <f aca="false">C7-2*C$1</f>
        <v>7.70900000000852E-006</v>
      </c>
      <c r="I7" s="0" t="n">
        <f aca="false">B7-2*B$1</f>
        <v>-0.007982871</v>
      </c>
    </row>
    <row r="8" customFormat="false" ht="12.8" hidden="false" customHeight="false" outlineLevel="0" collapsed="false">
      <c r="A8" s="0" t="n">
        <v>120</v>
      </c>
      <c r="B8" s="0" t="n">
        <v>-0.077491152</v>
      </c>
      <c r="C8" s="0" t="n">
        <v>0.063120861</v>
      </c>
      <c r="D8" s="0" t="n">
        <v>-6892.57046181981</v>
      </c>
      <c r="F8" s="0" t="n">
        <f aca="false">A8/10</f>
        <v>12</v>
      </c>
      <c r="G8" s="0" t="n">
        <f aca="false">D8-C8-B8-2*(D$1-C$1-B$1)</f>
        <v>-0.00303934961812047</v>
      </c>
      <c r="H8" s="0" t="n">
        <f aca="false">C8-2*C$1</f>
        <v>2.94500000000419E-006</v>
      </c>
      <c r="I8" s="0" t="n">
        <f aca="false">B8-2*B$1</f>
        <v>-0.00371141</v>
      </c>
    </row>
    <row r="9" customFormat="false" ht="12.8" hidden="false" customHeight="false" outlineLevel="0" collapsed="false">
      <c r="A9" s="0" t="n">
        <v>140</v>
      </c>
      <c r="B9" s="0" t="n">
        <v>-0.075164776</v>
      </c>
      <c r="C9" s="0" t="n">
        <v>0.063118073</v>
      </c>
      <c r="D9" s="0" t="n">
        <v>-6892.56583102585</v>
      </c>
      <c r="F9" s="0" t="n">
        <f aca="false">A9/10</f>
        <v>14</v>
      </c>
      <c r="G9" s="0" t="n">
        <f aca="false">D9-C9-B9-2*(D$1-C$1-B$1)</f>
        <v>-0.00073214365511376</v>
      </c>
      <c r="H9" s="0" t="n">
        <f aca="false">C9-2*C$1</f>
        <v>1.57000000000629E-007</v>
      </c>
      <c r="I9" s="0" t="n">
        <f aca="false">B9-2*B$1</f>
        <v>-0.00138503400000001</v>
      </c>
    </row>
    <row r="10" customFormat="false" ht="12.8" hidden="false" customHeight="false" outlineLevel="0" collapsed="false">
      <c r="A10" s="0" t="n">
        <v>160</v>
      </c>
      <c r="B10" s="0" t="n">
        <v>-0.07428464</v>
      </c>
      <c r="C10" s="0" t="n">
        <v>0.063117917</v>
      </c>
      <c r="D10" s="0" t="n">
        <v>-6892.56427376706</v>
      </c>
      <c r="F10" s="0" t="n">
        <f aca="false">A10/10</f>
        <v>16</v>
      </c>
      <c r="G10" s="0" t="n">
        <f aca="false">D10-C10-B10-2*(D$1-C$1-B$1)</f>
        <v>-5.48648695257725E-005</v>
      </c>
      <c r="H10" s="0" t="n">
        <f aca="false">C10-2*C$1</f>
        <v>9.99999999473644E-010</v>
      </c>
      <c r="I10" s="0" t="n">
        <f aca="false">B10-2*B$1</f>
        <v>-0.000504898000000004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2026-04-30T13:42:22Z</dcterms:modified>
  <cp:revision>2</cp:revision>
  <dc:subject/>
  <dc:title/>
</cp:coreProperties>
</file>