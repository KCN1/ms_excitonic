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nPc2_0_sc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<sst xmlns="http://schemas.openxmlformats.org/spreadsheetml/2006/main" count="1" uniqueCount="1">
  <si>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scan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</si>
</sst>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ZnPc2_0_scan!$F$2:$F$16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2">
                  <c:v>14</c:v>
                </c:pt>
                <c:pt idx="13">
                  <c:v>16</c:v>
                </c:pt>
                <c:pt idx="14">
                  <c:v>18</c:v>
                </c:pt>
              </c:numCache>
            </c:numRef>
          </c:xVal>
          <c:yVal>
            <c:numRef>
              <c:f>ZnPc2_0_scan!$G$2:$G$16</c:f>
              <c:numCache>
                <c:formatCode>General</c:formatCode>
                <c:ptCount val="15"/>
                <c:pt idx="0">
                  <c:v>-0.00683929279784934</c:v>
                </c:pt>
                <c:pt idx="1">
                  <c:v>-0.0213413689843947</c:v>
                </c:pt>
                <c:pt idx="2">
                  <c:v>-0.0257056663995172</c:v>
                </c:pt>
                <c:pt idx="3">
                  <c:v>-0.0242893232816641</c:v>
                </c:pt>
                <c:pt idx="4">
                  <c:v>-0.0247670786584422</c:v>
                </c:pt>
                <c:pt idx="5">
                  <c:v>-0.0255969706358883</c:v>
                </c:pt>
                <c:pt idx="6">
                  <c:v>-0.0214404070611636</c:v>
                </c:pt>
                <c:pt idx="7">
                  <c:v>-0.0180915875826031</c:v>
                </c:pt>
                <c:pt idx="8">
                  <c:v>-0.0169176021590829</c:v>
                </c:pt>
                <c:pt idx="9">
                  <c:v>-0.0111609028663224</c:v>
                </c:pt>
                <c:pt idx="10">
                  <c:v>-0.00594941610506794</c:v>
                </c:pt>
                <c:pt idx="11">
                  <c:v>-0.00309115044910868</c:v>
                </c:pt>
                <c:pt idx="12">
                  <c:v>-0.00202748584069923</c:v>
                </c:pt>
                <c:pt idx="13">
                  <c:v>-0.000993152209957771</c:v>
                </c:pt>
                <c:pt idx="14">
                  <c:v>-0.000125418529933086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ZnPc2_0_scan!$F$2:$F$16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2">
                  <c:v>14</c:v>
                </c:pt>
                <c:pt idx="13">
                  <c:v>16</c:v>
                </c:pt>
                <c:pt idx="14">
                  <c:v>18</c:v>
                </c:pt>
              </c:numCache>
            </c:numRef>
          </c:xVal>
          <c:yVal>
            <c:numRef>
              <c:f>ZnPc2_0_scan!$H$2:$H$16</c:f>
              <c:numCache>
                <c:formatCode>General</c:formatCode>
                <c:ptCount val="15"/>
                <c:pt idx="0">
                  <c:v>0.000214790999999992</c:v>
                </c:pt>
                <c:pt idx="1">
                  <c:v>0.000172941999999995</c:v>
                </c:pt>
                <c:pt idx="2">
                  <c:v>0.000160441999999997</c:v>
                </c:pt>
                <c:pt idx="3">
                  <c:v>0.000159914999999997</c:v>
                </c:pt>
                <c:pt idx="4">
                  <c:v>0.000147622</c:v>
                </c:pt>
                <c:pt idx="5">
                  <c:v>0.000122821999999995</c:v>
                </c:pt>
                <c:pt idx="6">
                  <c:v>0.000110085999999995</c:v>
                </c:pt>
                <c:pt idx="7">
                  <c:v>7.17579999999912E-005</c:v>
                </c:pt>
                <c:pt idx="8">
                  <c:v>5.22290000000009E-005</c:v>
                </c:pt>
                <c:pt idx="9">
                  <c:v>4.49839999999979E-005</c:v>
                </c:pt>
                <c:pt idx="10">
                  <c:v>1.78259999999986E-005</c:v>
                </c:pt>
                <c:pt idx="11">
                  <c:v>5.31599999999133E-006</c:v>
                </c:pt>
                <c:pt idx="12">
                  <c:v>2.97400000000281E-006</c:v>
                </c:pt>
                <c:pt idx="13">
                  <c:v>5.70999999990884E-007</c:v>
                </c:pt>
                <c:pt idx="14">
                  <c:v>1.99999999894729E-009</c:v>
                </c:pt>
              </c:numCache>
            </c:numRef>
          </c:y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ZnPc2_0_scan!$F$2:$F$16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2">
                  <c:v>14</c:v>
                </c:pt>
                <c:pt idx="13">
                  <c:v>16</c:v>
                </c:pt>
                <c:pt idx="14">
                  <c:v>18</c:v>
                </c:pt>
              </c:numCache>
            </c:numRef>
          </c:xVal>
          <c:yVal>
            <c:numRef>
              <c:f>ZnPc2_0_scan!$I$2:$I$16</c:f>
              <c:numCache>
                <c:formatCode>General</c:formatCode>
                <c:ptCount val="15"/>
                <c:pt idx="0">
                  <c:v>-0.030953401</c:v>
                </c:pt>
                <c:pt idx="1">
                  <c:v>-0.030291848</c:v>
                </c:pt>
                <c:pt idx="2">
                  <c:v>-0.028443512</c:v>
                </c:pt>
                <c:pt idx="3">
                  <c:v>-0.027186794</c:v>
                </c:pt>
                <c:pt idx="4">
                  <c:v>-0.025794216</c:v>
                </c:pt>
                <c:pt idx="5">
                  <c:v>-0.022844163</c:v>
                </c:pt>
                <c:pt idx="6">
                  <c:v>-0.019939993</c:v>
                </c:pt>
                <c:pt idx="7">
                  <c:v>-0.017264922</c:v>
                </c:pt>
                <c:pt idx="8">
                  <c:v>-0.014851362</c:v>
                </c:pt>
                <c:pt idx="9">
                  <c:v>-0.012662915</c:v>
                </c:pt>
                <c:pt idx="10">
                  <c:v>-0.00875700800000001</c:v>
                </c:pt>
                <c:pt idx="11">
                  <c:v>-0.00544476400000001</c:v>
                </c:pt>
                <c:pt idx="12">
                  <c:v>-0.002869229</c:v>
                </c:pt>
                <c:pt idx="13">
                  <c:v>-0.00119624700000001</c:v>
                </c:pt>
                <c:pt idx="14">
                  <c:v>-0.000419263000000003</c:v>
                </c:pt>
              </c:numCache>
            </c:numRef>
          </c:yVal>
          <c:smooth val="0"/>
        </c:ser>
        <c:axId val="38140823"/>
        <c:axId val="67058319"/>
      </c:scatterChart>
      <c:valAx>
        <c:axId val="38140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7058319"/>
        <c:crosses val="autoZero"/>
        <c:crossBetween val="between"/>
      </c:valAx>
      <c:valAx>
        <c:axId val="670583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814082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491400</xdr:colOff>
      <xdr:row>6</xdr:row>
      <xdr:rowOff>102960</xdr:rowOff>
    </xdr:from>
    <xdr:to>
      <xdr:col>18</xdr:col>
      <xdr:colOff>561240</xdr:colOff>
      <xdr:row>26</xdr:row>
      <xdr:rowOff>91440</xdr:rowOff>
    </xdr:to>
    <xdr:graphicFrame>
      <xdr:nvGraphicFramePr>
        <xdr:cNvPr id="0" name=""/>
        <xdr:cNvGraphicFramePr/>
      </xdr:nvGraphicFramePr>
      <xdr:xfrm>
        <a:off x="9496800" y="10782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35" activeCellId="0" sqref="Q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12.42"/>
    <col collapsed="false" customWidth="true" hidden="false" outlineLevel="0" max="3" min="3" style="0" width="11.86"/>
    <col collapsed="false" customWidth="true" hidden="false" outlineLevel="0" max="4" min="4" style="0" width="17.29"/>
  </cols>
  <sheetData>
    <row r="1" customFormat="false" ht="12.8" hidden="false" customHeight="false" outlineLevel="0" collapsed="false">
      <c r="A1" s="0" t="s">
        <v>0</v>
      </c>
      <c r="B1" s="0" t="n">
        <v>-0.036889871</v>
      </c>
      <c r="C1" s="0" t="n">
        <v>0.031558964</v>
      </c>
      <c r="D1" s="0" t="n">
        <v>-3446.28179291571</v>
      </c>
    </row>
    <row r="2" customFormat="false" ht="12.8" hidden="false" customHeight="false" outlineLevel="0" collapsed="false">
      <c r="A2" s="0" t="n">
        <v>0</v>
      </c>
      <c r="B2" s="0" t="n">
        <v>-0.104733143</v>
      </c>
      <c r="C2" s="0" t="n">
        <v>0.063332719</v>
      </c>
      <c r="D2" s="0" t="n">
        <v>-6892.60116373422</v>
      </c>
      <c r="F2" s="0" t="n">
        <f aca="false">A2/10</f>
        <v>0</v>
      </c>
      <c r="G2" s="0" t="n">
        <f aca="false">D2-C2-B2-2*(D$1-C$1-B$1)</f>
        <v>-0.00683929279784934</v>
      </c>
      <c r="H2" s="0" t="n">
        <f aca="false">C2-2*C$1</f>
        <v>0.000214790999999992</v>
      </c>
      <c r="I2" s="0" t="n">
        <f aca="false">B2-2*B$1</f>
        <v>-0.030953401</v>
      </c>
    </row>
    <row r="3" customFormat="false" ht="12.8" hidden="false" customHeight="false" outlineLevel="0" collapsed="false">
      <c r="A3" s="0" t="n">
        <v>10</v>
      </c>
      <c r="B3" s="0" t="n">
        <v>-0.10407159</v>
      </c>
      <c r="C3" s="0" t="n">
        <v>0.06329087</v>
      </c>
      <c r="D3" s="0" t="n">
        <v>-6892.61504610641</v>
      </c>
      <c r="F3" s="0" t="n">
        <f aca="false">A3/10</f>
        <v>1</v>
      </c>
      <c r="G3" s="0" t="n">
        <f aca="false">D3-C3-B3-2*(D$1-C$1-B$1)</f>
        <v>-0.0213413689843947</v>
      </c>
      <c r="H3" s="0" t="n">
        <f aca="false">C3-2*C$1</f>
        <v>0.000172941999999995</v>
      </c>
      <c r="I3" s="0" t="n">
        <f aca="false">B3-2*B$1</f>
        <v>-0.030291848</v>
      </c>
    </row>
    <row r="4" customFormat="false" ht="12.8" hidden="false" customHeight="false" outlineLevel="0" collapsed="false">
      <c r="A4" s="0" t="n">
        <v>20</v>
      </c>
      <c r="B4" s="0" t="n">
        <v>-0.102223254</v>
      </c>
      <c r="C4" s="0" t="n">
        <v>0.06327837</v>
      </c>
      <c r="D4" s="0" t="n">
        <v>-6892.61757456783</v>
      </c>
      <c r="F4" s="0" t="n">
        <f aca="false">A4/10</f>
        <v>2</v>
      </c>
      <c r="G4" s="0" t="n">
        <f aca="false">D4-C4-B4-2*(D$1-C$1-B$1)</f>
        <v>-0.0257056663995172</v>
      </c>
      <c r="H4" s="0" t="n">
        <f aca="false">C4-2*C$1</f>
        <v>0.000160441999999997</v>
      </c>
      <c r="I4" s="0" t="n">
        <f aca="false">B4-2*B$1</f>
        <v>-0.028443512</v>
      </c>
    </row>
    <row r="5" customFormat="false" ht="12.8" hidden="false" customHeight="false" outlineLevel="0" collapsed="false">
      <c r="A5" s="0" t="n">
        <v>25</v>
      </c>
      <c r="B5" s="0" t="n">
        <v>-0.100966536</v>
      </c>
      <c r="C5" s="0" t="n">
        <v>0.063277843</v>
      </c>
      <c r="D5" s="0" t="n">
        <v>-6892.61490203371</v>
      </c>
      <c r="G5" s="0" t="n">
        <f aca="false">D5-C5-B5-2*(D$1-C$1-B$1)</f>
        <v>-0.0242893232816641</v>
      </c>
      <c r="H5" s="0" t="n">
        <f aca="false">C5-2*C$1</f>
        <v>0.000159914999999997</v>
      </c>
      <c r="I5" s="0" t="n">
        <f aca="false">B5-2*B$1</f>
        <v>-0.027186794</v>
      </c>
    </row>
    <row r="6" customFormat="false" ht="12.8" hidden="false" customHeight="false" outlineLevel="0" collapsed="false">
      <c r="A6" s="0" t="n">
        <v>30</v>
      </c>
      <c r="B6" s="0" t="n">
        <v>-0.099573958</v>
      </c>
      <c r="C6" s="0" t="n">
        <v>0.06326555</v>
      </c>
      <c r="D6" s="0" t="n">
        <v>-6892.61399950409</v>
      </c>
      <c r="F6" s="0" t="n">
        <f aca="false">A6/10</f>
        <v>3</v>
      </c>
      <c r="G6" s="0" t="n">
        <f aca="false">D6-C6-B6-2*(D$1-C$1-B$1)</f>
        <v>-0.0247670786584422</v>
      </c>
      <c r="H6" s="0" t="n">
        <f aca="false">C6-2*C$1</f>
        <v>0.000147622</v>
      </c>
      <c r="I6" s="0" t="n">
        <f aca="false">B6-2*B$1</f>
        <v>-0.025794216</v>
      </c>
    </row>
    <row r="7" customFormat="false" ht="12.8" hidden="false" customHeight="false" outlineLevel="0" collapsed="false">
      <c r="A7" s="0" t="n">
        <v>40</v>
      </c>
      <c r="B7" s="0" t="n">
        <v>-0.096623905</v>
      </c>
      <c r="C7" s="0" t="n">
        <v>0.06324075</v>
      </c>
      <c r="D7" s="0" t="n">
        <v>-6892.61190414306</v>
      </c>
      <c r="F7" s="0" t="n">
        <f aca="false">A7/10</f>
        <v>4</v>
      </c>
      <c r="G7" s="0" t="n">
        <f aca="false">D7-C7-B7-2*(D$1-C$1-B$1)</f>
        <v>-0.0255969706358883</v>
      </c>
      <c r="H7" s="0" t="n">
        <f aca="false">C7-2*C$1</f>
        <v>0.000122821999999995</v>
      </c>
      <c r="I7" s="0" t="n">
        <f aca="false">B7-2*B$1</f>
        <v>-0.022844163</v>
      </c>
    </row>
    <row r="8" customFormat="false" ht="12.8" hidden="false" customHeight="false" outlineLevel="0" collapsed="false">
      <c r="A8" s="0" t="n">
        <v>50</v>
      </c>
      <c r="B8" s="0" t="n">
        <v>-0.093719735</v>
      </c>
      <c r="C8" s="0" t="n">
        <v>0.063228014</v>
      </c>
      <c r="D8" s="0" t="n">
        <v>-6892.60485614549</v>
      </c>
      <c r="F8" s="0" t="n">
        <f aca="false">A8/10</f>
        <v>5</v>
      </c>
      <c r="G8" s="0" t="n">
        <f aca="false">D8-C8-B8-2*(D$1-C$1-B$1)</f>
        <v>-0.0214404070611636</v>
      </c>
      <c r="H8" s="0" t="n">
        <f aca="false">C8-2*C$1</f>
        <v>0.000110085999999995</v>
      </c>
      <c r="I8" s="0" t="n">
        <f aca="false">B8-2*B$1</f>
        <v>-0.019939993</v>
      </c>
    </row>
    <row r="9" customFormat="false" ht="12.8" hidden="false" customHeight="false" outlineLevel="0" collapsed="false">
      <c r="A9" s="0" t="n">
        <v>60</v>
      </c>
      <c r="B9" s="0" t="n">
        <v>-0.091044664</v>
      </c>
      <c r="C9" s="0" t="n">
        <v>0.063189686</v>
      </c>
      <c r="D9" s="0" t="n">
        <v>-6892.59887058301</v>
      </c>
      <c r="F9" s="0" t="n">
        <f aca="false">A9/10</f>
        <v>6</v>
      </c>
      <c r="G9" s="0" t="n">
        <f aca="false">D9-C9-B9-2*(D$1-C$1-B$1)</f>
        <v>-0.0180915875826031</v>
      </c>
      <c r="H9" s="0" t="n">
        <f aca="false">C9-2*C$1</f>
        <v>7.17579999999912E-005</v>
      </c>
      <c r="I9" s="0" t="n">
        <f aca="false">B9-2*B$1</f>
        <v>-0.017264922</v>
      </c>
    </row>
    <row r="10" customFormat="false" ht="12.8" hidden="false" customHeight="false" outlineLevel="0" collapsed="false">
      <c r="A10" s="0" t="n">
        <v>70</v>
      </c>
      <c r="B10" s="0" t="n">
        <v>-0.088631104</v>
      </c>
      <c r="C10" s="0" t="n">
        <v>0.063170157</v>
      </c>
      <c r="D10" s="0" t="n">
        <v>-6892.59530256659</v>
      </c>
      <c r="F10" s="0" t="n">
        <f aca="false">A10/10</f>
        <v>7</v>
      </c>
      <c r="G10" s="0" t="n">
        <f aca="false">D10-C10-B10-2*(D$1-C$1-B$1)</f>
        <v>-0.0169176021590829</v>
      </c>
      <c r="H10" s="0" t="n">
        <f aca="false">C10-2*C$1</f>
        <v>5.22290000000009E-005</v>
      </c>
      <c r="I10" s="0" t="n">
        <f aca="false">B10-2*B$1</f>
        <v>-0.014851362</v>
      </c>
    </row>
    <row r="11" customFormat="false" ht="12.8" hidden="false" customHeight="false" outlineLevel="0" collapsed="false">
      <c r="A11" s="0" t="n">
        <v>80</v>
      </c>
      <c r="B11" s="0" t="n">
        <v>-0.086442657</v>
      </c>
      <c r="C11" s="0" t="n">
        <v>0.063162912</v>
      </c>
      <c r="D11" s="0" t="n">
        <v>-6892.58736466529</v>
      </c>
      <c r="F11" s="0" t="n">
        <f aca="false">A11/10</f>
        <v>8</v>
      </c>
      <c r="G11" s="0" t="n">
        <f aca="false">D11-C11-B11-2*(D$1-C$1-B$1)</f>
        <v>-0.0111609028663224</v>
      </c>
      <c r="H11" s="0" t="n">
        <f aca="false">C11-2*C$1</f>
        <v>4.49839999999979E-005</v>
      </c>
      <c r="I11" s="0" t="n">
        <f aca="false">B11-2*B$1</f>
        <v>-0.012662915</v>
      </c>
    </row>
    <row r="12" customFormat="false" ht="12.8" hidden="false" customHeight="false" outlineLevel="0" collapsed="false">
      <c r="A12" s="0" t="n">
        <v>100</v>
      </c>
      <c r="B12" s="0" t="n">
        <v>-0.08253675</v>
      </c>
      <c r="C12" s="0" t="n">
        <v>0.063135754</v>
      </c>
      <c r="D12" s="0" t="n">
        <v>-6892.57827442953</v>
      </c>
      <c r="F12" s="0" t="n">
        <f aca="false">A12/10</f>
        <v>10</v>
      </c>
      <c r="G12" s="0" t="n">
        <f aca="false">D12-C12-B12-2*(D$1-C$1-B$1)</f>
        <v>-0.00594941610506794</v>
      </c>
      <c r="H12" s="0" t="n">
        <f aca="false">C12-2*C$1</f>
        <v>1.78259999999986E-005</v>
      </c>
      <c r="I12" s="0" t="n">
        <f aca="false">B12-2*B$1</f>
        <v>-0.00875700800000001</v>
      </c>
    </row>
    <row r="13" customFormat="false" ht="12.8" hidden="false" customHeight="false" outlineLevel="0" collapsed="false">
      <c r="A13" s="0" t="n">
        <v>120</v>
      </c>
      <c r="B13" s="0" t="n">
        <v>-0.079224506</v>
      </c>
      <c r="C13" s="0" t="n">
        <v>0.063123244</v>
      </c>
      <c r="D13" s="0" t="n">
        <v>-6892.57211642988</v>
      </c>
      <c r="F13" s="0" t="n">
        <f aca="false">A13/10</f>
        <v>12</v>
      </c>
      <c r="G13" s="0" t="n">
        <f aca="false">D13-C13-B13-2*(D$1-C$1-B$1)</f>
        <v>-0.00309115044910868</v>
      </c>
      <c r="H13" s="0" t="n">
        <f aca="false">C13-2*C$1</f>
        <v>5.31599999999133E-006</v>
      </c>
      <c r="I13" s="0" t="n">
        <f aca="false">B13-2*B$1</f>
        <v>-0.00544476400000001</v>
      </c>
    </row>
    <row r="14" customFormat="false" ht="12.8" hidden="false" customHeight="false" outlineLevel="0" collapsed="false">
      <c r="A14" s="0" t="n">
        <v>140</v>
      </c>
      <c r="B14" s="0" t="n">
        <v>-0.076648971</v>
      </c>
      <c r="C14" s="0" t="n">
        <v>0.063120902</v>
      </c>
      <c r="D14" s="0" t="n">
        <v>-6892.56847957227</v>
      </c>
      <c r="F14" s="0" t="n">
        <f aca="false">A14/10</f>
        <v>14</v>
      </c>
      <c r="G14" s="0" t="n">
        <f aca="false">D14-C14-B14-2*(D$1-C$1-B$1)</f>
        <v>-0.00202748584069923</v>
      </c>
      <c r="H14" s="0" t="n">
        <f aca="false">C14-2*C$1</f>
        <v>2.97400000000281E-006</v>
      </c>
      <c r="I14" s="0" t="n">
        <f aca="false">B14-2*B$1</f>
        <v>-0.002869229</v>
      </c>
    </row>
    <row r="15" customFormat="false" ht="12.8" hidden="false" customHeight="false" outlineLevel="0" collapsed="false">
      <c r="A15" s="0" t="n">
        <v>160</v>
      </c>
      <c r="B15" s="0" t="n">
        <v>-0.074975989</v>
      </c>
      <c r="C15" s="0" t="n">
        <v>0.063118499</v>
      </c>
      <c r="D15" s="0" t="n">
        <v>-6892.56577465964</v>
      </c>
      <c r="F15" s="0" t="n">
        <f aca="false">A15/10</f>
        <v>16</v>
      </c>
      <c r="G15" s="0" t="n">
        <f aca="false">D15-C15-B15-2*(D$1-C$1-B$1)</f>
        <v>-0.000993152209957771</v>
      </c>
      <c r="H15" s="0" t="n">
        <f aca="false">C15-2*C$1</f>
        <v>5.70999999990884E-007</v>
      </c>
      <c r="I15" s="0" t="n">
        <f aca="false">B15-2*B$1</f>
        <v>-0.00119624700000001</v>
      </c>
    </row>
    <row r="16" customFormat="false" ht="12.8" hidden="false" customHeight="false" outlineLevel="0" collapsed="false">
      <c r="A16" s="0" t="n">
        <v>180</v>
      </c>
      <c r="B16" s="0" t="n">
        <v>-0.074199005</v>
      </c>
      <c r="C16" s="0" t="n">
        <v>0.06311793</v>
      </c>
      <c r="D16" s="0" t="n">
        <v>-6892.56413051096</v>
      </c>
      <c r="F16" s="0" t="n">
        <f aca="false">A16/10</f>
        <v>18</v>
      </c>
      <c r="G16" s="0" t="n">
        <f aca="false">D16-C16-B16-2*(D$1-C$1-B$1)</f>
        <v>-0.000125418529933086</v>
      </c>
      <c r="H16" s="0" t="n">
        <f aca="false">C16-2*C$1</f>
        <v>1.99999999894729E-009</v>
      </c>
      <c r="I16" s="0" t="n">
        <f aca="false">B16-2*B$1</f>
        <v>-0.000419263000000003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en-IE</dc:language>
  <cp:lastModifiedBy/>
  <dcterms:modified xsi:type="dcterms:W3CDTF">2026-04-29T17:16:36Z</dcterms:modified>
  <cp:revision>1</cp:revision>
  <dc:subject/>
  <dc:title/>
</cp:coreProperties>
</file>