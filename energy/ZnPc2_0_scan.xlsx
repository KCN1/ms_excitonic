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ergies_sca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<sst xmlns="http://schemas.openxmlformats.org/spreadsheetml/2006/main" count="7" uniqueCount="7">
  <si>
    <t xml:space="preserve">scan</t>
  </si>
  <si>
    <t xml:space="preserve">D4</t>
  </si>
  <si>
    <t xml:space="preserve">gCP</t>
  </si>
  <si>
    <t xml:space="preserve">Total</t>
  </si>
  <si>
    <t xml:space="preserve">Uncorrected</t>
  </si>
  <si>
    <t xml:space="preserve">CP</t>
  </si>
  <si>
    <t xml:space="preserve">Total+CP-gCP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</si>
</sst>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energies_scan!$G$2:$G$16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energies_scan!$H$2:$H$16</c:f>
              <c:numCache>
                <c:formatCode>General</c:formatCode>
                <c:ptCount val="15"/>
                <c:pt idx="0">
                  <c:v>-19.4232591275</c:v>
                </c:pt>
                <c:pt idx="1">
                  <c:v>-19.00813462</c:v>
                </c:pt>
                <c:pt idx="2">
                  <c:v>-18.50958336</c:v>
                </c:pt>
                <c:pt idx="3">
                  <c:v>-17.84830378</c:v>
                </c:pt>
                <c:pt idx="4">
                  <c:v>-17.059713235</c:v>
                </c:pt>
                <c:pt idx="5">
                  <c:v>-16.18587054</c:v>
                </c:pt>
                <c:pt idx="6">
                  <c:v>-14.3347122825</c:v>
                </c:pt>
                <c:pt idx="7">
                  <c:v>-12.5123456075</c:v>
                </c:pt>
                <c:pt idx="8">
                  <c:v>-10.833738555</c:v>
                </c:pt>
                <c:pt idx="9">
                  <c:v>-9.319229655</c:v>
                </c:pt>
                <c:pt idx="10">
                  <c:v>-7.94597916250001</c:v>
                </c:pt>
                <c:pt idx="11">
                  <c:v>-5.49502252000001</c:v>
                </c:pt>
                <c:pt idx="12">
                  <c:v>-3.41658941</c:v>
                </c:pt>
                <c:pt idx="13">
                  <c:v>-1.8004411975</c:v>
                </c:pt>
                <c:pt idx="14">
                  <c:v>-0.750644992500007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energies_scan!$G$2:$G$16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energies_scan!$I$2:$I$16</c:f>
              <c:numCache>
                <c:formatCode>General</c:formatCode>
                <c:ptCount val="15"/>
                <c:pt idx="0">
                  <c:v>0.134781352499995</c:v>
                </c:pt>
                <c:pt idx="1">
                  <c:v>0.108521104999997</c:v>
                </c:pt>
                <c:pt idx="2">
                  <c:v>0.0997354774999974</c:v>
                </c:pt>
                <c:pt idx="3">
                  <c:v>0.100677354999998</c:v>
                </c:pt>
                <c:pt idx="4">
                  <c:v>0.100346662499998</c:v>
                </c:pt>
                <c:pt idx="5">
                  <c:v>0.092632805</c:v>
                </c:pt>
                <c:pt idx="6">
                  <c:v>0.0770708049999967</c:v>
                </c:pt>
                <c:pt idx="7">
                  <c:v>0.0690789649999971</c:v>
                </c:pt>
                <c:pt idx="8">
                  <c:v>0.0450281449999945</c:v>
                </c:pt>
                <c:pt idx="9">
                  <c:v>0.0327736975000005</c:v>
                </c:pt>
                <c:pt idx="10">
                  <c:v>0.0282274599999987</c:v>
                </c:pt>
                <c:pt idx="11">
                  <c:v>0.0111858149999991</c:v>
                </c:pt>
                <c:pt idx="12">
                  <c:v>0.00333578999999456</c:v>
                </c:pt>
                <c:pt idx="13">
                  <c:v>0.00186618500000176</c:v>
                </c:pt>
                <c:pt idx="14">
                  <c:v>0.00035830249999428</c:v>
                </c:pt>
              </c:numCache>
            </c:numRef>
          </c:yVal>
          <c:smooth val="0"/>
        </c:ser>
        <c:ser>
          <c:idx val="2"/>
          <c:order val="2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energies_scan!$G$2:$G$16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energies_scan!$J$2:$J$16</c:f>
              <c:numCache>
                <c:formatCode>General</c:formatCode>
                <c:ptCount val="15"/>
                <c:pt idx="0">
                  <c:v>-23.5801340069793</c:v>
                </c:pt>
                <c:pt idx="1">
                  <c:v>-32.2913225561933</c:v>
                </c:pt>
                <c:pt idx="2">
                  <c:v>-34.9449333543225</c:v>
                </c:pt>
                <c:pt idx="3">
                  <c:v>-33.87793209743</c:v>
                </c:pt>
                <c:pt idx="4">
                  <c:v>-32.2009169368835</c:v>
                </c:pt>
                <c:pt idx="5">
                  <c:v>-31.6345796006772</c:v>
                </c:pt>
                <c:pt idx="6">
                  <c:v>-30.3197405542801</c:v>
                </c:pt>
                <c:pt idx="7">
                  <c:v>-25.8971220789635</c:v>
                </c:pt>
                <c:pt idx="8">
                  <c:v>-22.1411816225009</c:v>
                </c:pt>
                <c:pt idx="9">
                  <c:v>-19.9022513194564</c:v>
                </c:pt>
                <c:pt idx="10">
                  <c:v>-14.9212182534143</c:v>
                </c:pt>
                <c:pt idx="11">
                  <c:v>-9.21709531421129</c:v>
                </c:pt>
                <c:pt idx="12">
                  <c:v>-5.35295053384516</c:v>
                </c:pt>
                <c:pt idx="13">
                  <c:v>-3.07082238343355</c:v>
                </c:pt>
                <c:pt idx="14">
                  <c:v>-1.37348970799621</c:v>
                </c:pt>
              </c:numCache>
            </c:numRef>
          </c:yVal>
          <c:smooth val="0"/>
        </c:ser>
        <c:ser>
          <c:idx val="3"/>
          <c:order val="3"/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energies_scan!$G$2:$G$16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</c:numCache>
            </c:numRef>
          </c:xVal>
          <c:yVal>
            <c:numRef>
              <c:f>energies_scan!$K$2:$K$16</c:f>
              <c:numCache>
                <c:formatCode>General</c:formatCode>
                <c:ptCount val="15"/>
                <c:pt idx="0">
                  <c:v>-4.29165623179188</c:v>
                </c:pt>
                <c:pt idx="1">
                  <c:v>-13.3917090411319</c:v>
                </c:pt>
                <c:pt idx="2">
                  <c:v>-16.5350854717531</c:v>
                </c:pt>
                <c:pt idx="3">
                  <c:v>-16.1303056725455</c:v>
                </c:pt>
                <c:pt idx="4">
                  <c:v>-15.2415503643806</c:v>
                </c:pt>
                <c:pt idx="5">
                  <c:v>-15.5413418655917</c:v>
                </c:pt>
                <c:pt idx="6">
                  <c:v>-16.0620990763027</c:v>
                </c:pt>
                <c:pt idx="7">
                  <c:v>-13.4538554360165</c:v>
                </c:pt>
                <c:pt idx="8">
                  <c:v>-11.3524712126491</c:v>
                </c:pt>
                <c:pt idx="9">
                  <c:v>-10.615795361673</c:v>
                </c:pt>
                <c:pt idx="10">
                  <c:v>-7.00346655090016</c:v>
                </c:pt>
                <c:pt idx="11">
                  <c:v>-3.73325860878367</c:v>
                </c:pt>
                <c:pt idx="12">
                  <c:v>-1.93969691366419</c:v>
                </c:pt>
                <c:pt idx="13">
                  <c:v>-1.27224737074584</c:v>
                </c:pt>
                <c:pt idx="14">
                  <c:v>-0.62320301745558</c:v>
                </c:pt>
              </c:numCache>
            </c:numRef>
          </c:yVal>
          <c:smooth val="0"/>
        </c:ser>
        <c:axId val="55984916"/>
        <c:axId val="46823870"/>
      </c:scatterChart>
      <c:valAx>
        <c:axId val="559849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6823870"/>
        <c:crosses val="autoZero"/>
        <c:crossBetween val="midCat"/>
      </c:valAx>
      <c:valAx>
        <c:axId val="46823870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0.000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5984916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</c:numCache>
            </c:numRef>
          </c:xVal>
          <c:yVal>
            <c:numRef>
              <c:f>energies_scan!$H$2:$H$17</c:f>
              <c:numCache>
                <c:formatCode>General</c:formatCode>
                <c:ptCount val="16"/>
                <c:pt idx="0">
                  <c:v>-19.4232591275</c:v>
                </c:pt>
                <c:pt idx="1">
                  <c:v>-19.00813462</c:v>
                </c:pt>
                <c:pt idx="2">
                  <c:v>-18.50958336</c:v>
                </c:pt>
                <c:pt idx="3">
                  <c:v>-17.84830378</c:v>
                </c:pt>
                <c:pt idx="4">
                  <c:v>-17.059713235</c:v>
                </c:pt>
                <c:pt idx="5">
                  <c:v>-16.18587054</c:v>
                </c:pt>
                <c:pt idx="6">
                  <c:v>-14.3347122825</c:v>
                </c:pt>
                <c:pt idx="7">
                  <c:v>-12.5123456075</c:v>
                </c:pt>
                <c:pt idx="8">
                  <c:v>-10.833738555</c:v>
                </c:pt>
                <c:pt idx="9">
                  <c:v>-9.319229655</c:v>
                </c:pt>
                <c:pt idx="10">
                  <c:v>-7.94597916250001</c:v>
                </c:pt>
                <c:pt idx="11">
                  <c:v>-5.49502252000001</c:v>
                </c:pt>
                <c:pt idx="12">
                  <c:v>-3.41658941</c:v>
                </c:pt>
                <c:pt idx="13">
                  <c:v>-1.8004411975</c:v>
                </c:pt>
                <c:pt idx="14">
                  <c:v>-0.750644992500007</c:v>
                </c:pt>
                <c:pt idx="15">
                  <c:v>-0.263087532500002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</c:numCache>
            </c:numRef>
          </c:xVal>
          <c:yVal>
            <c:numRef>
              <c:f>energies_scan!$I$2:$I$17</c:f>
              <c:numCache>
                <c:formatCode>General</c:formatCode>
                <c:ptCount val="16"/>
                <c:pt idx="0">
                  <c:v>0.134781352499995</c:v>
                </c:pt>
                <c:pt idx="1">
                  <c:v>0.108521104999997</c:v>
                </c:pt>
                <c:pt idx="2">
                  <c:v>0.0997354774999974</c:v>
                </c:pt>
                <c:pt idx="3">
                  <c:v>0.100677354999998</c:v>
                </c:pt>
                <c:pt idx="4">
                  <c:v>0.100346662499998</c:v>
                </c:pt>
                <c:pt idx="5">
                  <c:v>0.092632805</c:v>
                </c:pt>
                <c:pt idx="6">
                  <c:v>0.0770708049999967</c:v>
                </c:pt>
                <c:pt idx="7">
                  <c:v>0.0690789649999971</c:v>
                </c:pt>
                <c:pt idx="8">
                  <c:v>0.0450281449999945</c:v>
                </c:pt>
                <c:pt idx="9">
                  <c:v>0.0327736975000005</c:v>
                </c:pt>
                <c:pt idx="10">
                  <c:v>0.0282274599999987</c:v>
                </c:pt>
                <c:pt idx="11">
                  <c:v>0.0111858149999991</c:v>
                </c:pt>
                <c:pt idx="12">
                  <c:v>0.00333578999999456</c:v>
                </c:pt>
                <c:pt idx="13">
                  <c:v>0.00186618500000176</c:v>
                </c:pt>
                <c:pt idx="14">
                  <c:v>0.00035830249999428</c:v>
                </c:pt>
                <c:pt idx="15">
                  <c:v>1.25499999933942E-006</c:v>
                </c:pt>
              </c:numCache>
            </c:numRef>
          </c:yVal>
          <c:smooth val="0"/>
        </c:ser>
        <c:ser>
          <c:idx val="2"/>
          <c:order val="2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</c:numCache>
            </c:numRef>
          </c:xVal>
          <c:yVal>
            <c:numRef>
              <c:f>energies_scan!$J$2:$J$17</c:f>
              <c:numCache>
                <c:formatCode>General</c:formatCode>
                <c:ptCount val="16"/>
                <c:pt idx="0">
                  <c:v>-23.5801340069793</c:v>
                </c:pt>
                <c:pt idx="1">
                  <c:v>-32.2913225561933</c:v>
                </c:pt>
                <c:pt idx="2">
                  <c:v>-34.9449333543225</c:v>
                </c:pt>
                <c:pt idx="3">
                  <c:v>-33.87793209743</c:v>
                </c:pt>
                <c:pt idx="4">
                  <c:v>-32.2009169368835</c:v>
                </c:pt>
                <c:pt idx="5">
                  <c:v>-31.6345796006772</c:v>
                </c:pt>
                <c:pt idx="6">
                  <c:v>-30.3197405542801</c:v>
                </c:pt>
                <c:pt idx="7">
                  <c:v>-25.8971220789635</c:v>
                </c:pt>
                <c:pt idx="8">
                  <c:v>-22.1411816225009</c:v>
                </c:pt>
                <c:pt idx="9">
                  <c:v>-19.9022513194564</c:v>
                </c:pt>
                <c:pt idx="10">
                  <c:v>-14.9212182534143</c:v>
                </c:pt>
                <c:pt idx="11">
                  <c:v>-9.21709531421129</c:v>
                </c:pt>
                <c:pt idx="12">
                  <c:v>-5.35295053384516</c:v>
                </c:pt>
                <c:pt idx="13">
                  <c:v>-3.07082238343355</c:v>
                </c:pt>
                <c:pt idx="14">
                  <c:v>-1.37348970799621</c:v>
                </c:pt>
                <c:pt idx="15">
                  <c:v>-0.341786411554494</c:v>
                </c:pt>
              </c:numCache>
            </c:numRef>
          </c:yVal>
          <c:smooth val="0"/>
        </c:ser>
        <c:ser>
          <c:idx val="3"/>
          <c:order val="3"/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</c:numCache>
            </c:numRef>
          </c:xVal>
          <c:yVal>
            <c:numRef>
              <c:f>energies_scan!$K$2:$K$17</c:f>
              <c:numCache>
                <c:formatCode>General</c:formatCode>
                <c:ptCount val="16"/>
                <c:pt idx="0">
                  <c:v>-4.29165623179188</c:v>
                </c:pt>
                <c:pt idx="1">
                  <c:v>-13.3917090411319</c:v>
                </c:pt>
                <c:pt idx="2">
                  <c:v>-16.5350854717531</c:v>
                </c:pt>
                <c:pt idx="3">
                  <c:v>-16.1303056725455</c:v>
                </c:pt>
                <c:pt idx="4">
                  <c:v>-15.2415503643806</c:v>
                </c:pt>
                <c:pt idx="5">
                  <c:v>-15.5413418655917</c:v>
                </c:pt>
                <c:pt idx="6">
                  <c:v>-16.0620990763027</c:v>
                </c:pt>
                <c:pt idx="7">
                  <c:v>-13.4538554360165</c:v>
                </c:pt>
                <c:pt idx="8">
                  <c:v>-11.3524712126491</c:v>
                </c:pt>
                <c:pt idx="9">
                  <c:v>-10.615795361673</c:v>
                </c:pt>
                <c:pt idx="10">
                  <c:v>-7.00346655090016</c:v>
                </c:pt>
                <c:pt idx="11">
                  <c:v>-3.73325860878367</c:v>
                </c:pt>
                <c:pt idx="12">
                  <c:v>-1.93969691366419</c:v>
                </c:pt>
                <c:pt idx="13">
                  <c:v>-1.27224737074584</c:v>
                </c:pt>
                <c:pt idx="14">
                  <c:v>-0.62320301745558</c:v>
                </c:pt>
                <c:pt idx="15">
                  <c:v>-0.0787001338107984</c:v>
                </c:pt>
              </c:numCache>
            </c:numRef>
          </c:yVal>
          <c:smooth val="0"/>
        </c:ser>
        <c:ser>
          <c:idx val="4"/>
          <c:order val="4"/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</c:numCache>
            </c:numRef>
          </c:xVal>
          <c:yVal>
            <c:numRef>
              <c:f>energies_scan!$L$2:$L$17</c:f>
              <c:numCache>
                <c:formatCode>General</c:formatCode>
                <c:ptCount val="16"/>
                <c:pt idx="0">
                  <c:v>3.992</c:v>
                </c:pt>
                <c:pt idx="1">
                  <c:v>3.854</c:v>
                </c:pt>
                <c:pt idx="2">
                  <c:v>3.756</c:v>
                </c:pt>
                <c:pt idx="3">
                  <c:v>3.594</c:v>
                </c:pt>
                <c:pt idx="4">
                  <c:v>3.38</c:v>
                </c:pt>
                <c:pt idx="5">
                  <c:v>3.176</c:v>
                </c:pt>
                <c:pt idx="6">
                  <c:v>2.786</c:v>
                </c:pt>
                <c:pt idx="7">
                  <c:v>2.38</c:v>
                </c:pt>
                <c:pt idx="8">
                  <c:v>1.986</c:v>
                </c:pt>
                <c:pt idx="9">
                  <c:v>1.862</c:v>
                </c:pt>
                <c:pt idx="10">
                  <c:v>1.456</c:v>
                </c:pt>
                <c:pt idx="11">
                  <c:v>0.758</c:v>
                </c:pt>
                <c:pt idx="12">
                  <c:v>0.344</c:v>
                </c:pt>
              </c:numCache>
            </c:numRef>
          </c:yVal>
          <c:smooth val="0"/>
        </c:ser>
        <c:ser>
          <c:idx val="5"/>
          <c:order val="5"/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xVal>
            <c:numRef>
              <c:f>energies_scan!$G$2:$G$17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  <c:pt idx="12">
                  <c:v>12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</c:numCache>
            </c:numRef>
          </c:xVal>
          <c:yVal>
            <c:numRef>
              <c:f>energies_scan!$M$2:$M$17</c:f>
              <c:numCache>
                <c:formatCode>General</c:formatCode>
                <c:ptCount val="16"/>
                <c:pt idx="0">
                  <c:v>-19.7229153594793</c:v>
                </c:pt>
                <c:pt idx="1">
                  <c:v>-28.5458436611933</c:v>
                </c:pt>
                <c:pt idx="2">
                  <c:v>-31.2886688318225</c:v>
                </c:pt>
                <c:pt idx="3">
                  <c:v>-30.38460945243</c:v>
                </c:pt>
                <c:pt idx="4">
                  <c:v>-28.9212635993835</c:v>
                </c:pt>
                <c:pt idx="5">
                  <c:v>-28.5512124056772</c:v>
                </c:pt>
                <c:pt idx="6">
                  <c:v>-27.6108113592801</c:v>
                </c:pt>
                <c:pt idx="7">
                  <c:v>-23.5862010439635</c:v>
                </c:pt>
                <c:pt idx="8">
                  <c:v>-20.2002097675009</c:v>
                </c:pt>
                <c:pt idx="9">
                  <c:v>-18.0730250169564</c:v>
                </c:pt>
                <c:pt idx="10">
                  <c:v>-13.4934457134143</c:v>
                </c:pt>
                <c:pt idx="11">
                  <c:v>-8.47028112921129</c:v>
                </c:pt>
                <c:pt idx="12">
                  <c:v>-5.01228632384515</c:v>
                </c:pt>
              </c:numCache>
            </c:numRef>
          </c:yVal>
          <c:smooth val="0"/>
        </c:ser>
        <c:axId val="9357490"/>
        <c:axId val="32276884"/>
      </c:scatterChart>
      <c:valAx>
        <c:axId val="935749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2276884"/>
        <c:crosses val="autoZero"/>
        <c:crossBetween val="midCat"/>
      </c:valAx>
      <c:valAx>
        <c:axId val="3227688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0.000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357490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273600</xdr:colOff>
      <xdr:row>13</xdr:row>
      <xdr:rowOff>45720</xdr:rowOff>
    </xdr:from>
    <xdr:to>
      <xdr:col>20</xdr:col>
      <xdr:colOff>343440</xdr:colOff>
      <xdr:row>33</xdr:row>
      <xdr:rowOff>33840</xdr:rowOff>
    </xdr:to>
    <xdr:graphicFrame>
      <xdr:nvGraphicFramePr>
        <xdr:cNvPr id="0" name=""/>
        <xdr:cNvGraphicFramePr/>
      </xdr:nvGraphicFramePr>
      <xdr:xfrm>
        <a:off x="10916640" y="2158920"/>
        <a:ext cx="5768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641520</xdr:colOff>
      <xdr:row>19</xdr:row>
      <xdr:rowOff>35640</xdr:rowOff>
    </xdr:from>
    <xdr:to>
      <xdr:col>12</xdr:col>
      <xdr:colOff>705240</xdr:colOff>
      <xdr:row>39</xdr:row>
      <xdr:rowOff>24120</xdr:rowOff>
    </xdr:to>
    <xdr:graphicFrame>
      <xdr:nvGraphicFramePr>
        <xdr:cNvPr id="1" name=""/>
        <xdr:cNvGraphicFramePr/>
      </xdr:nvGraphicFramePr>
      <xdr:xfrm>
        <a:off x="4774680" y="31240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6" activeCellId="0" sqref="O6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5.47"/>
    <col collapsed="false" customWidth="true" hidden="false" outlineLevel="0" max="2" min="2" style="0" width="12.42"/>
    <col collapsed="false" customWidth="true" hidden="false" outlineLevel="0" max="3" min="3" style="0" width="11.86"/>
    <col collapsed="false" customWidth="true" hidden="false" outlineLevel="0" max="4" min="4" style="0" width="17.29"/>
    <col collapsed="false" customWidth="false" hidden="false" outlineLevel="0" max="11" min="8" style="1" width="11.53"/>
  </cols>
  <sheetData>
    <row r="1" customFormat="false" ht="12.8" hidden="false" customHeight="false" outlineLevel="0" collapsed="false">
      <c r="A1" s="0" t="s">
        <v>0</v>
      </c>
      <c r="B1" s="0" t="n">
        <v>-0.036889871</v>
      </c>
      <c r="C1" s="0" t="n">
        <v>0.031558964</v>
      </c>
      <c r="D1" s="0" t="n">
        <v>-3446.28179291571</v>
      </c>
      <c r="E1" s="0" t="n">
        <f aca="false">D1-C1-B1</f>
        <v>-3446.27646200871</v>
      </c>
      <c r="H1" s="1" t="s">
        <v>1</v>
      </c>
      <c r="I1" s="1" t="s">
        <v>2</v>
      </c>
      <c r="J1" s="1" t="s">
        <v>3</v>
      </c>
      <c r="K1" s="1" t="s">
        <v>4</v>
      </c>
      <c r="L1" s="0" t="s">
        <v>5</v>
      </c>
      <c r="M1" s="0" t="s">
        <v>6</v>
      </c>
    </row>
    <row r="2" customFormat="false" ht="12.8" hidden="false" customHeight="false" outlineLevel="0" collapsed="false">
      <c r="A2" s="0" t="n">
        <v>0</v>
      </c>
      <c r="B2" s="0" t="n">
        <v>-0.104733143</v>
      </c>
      <c r="C2" s="0" t="n">
        <v>0.063332719</v>
      </c>
      <c r="D2" s="0" t="n">
        <v>-6892.60116373422</v>
      </c>
      <c r="E2" s="0" t="n">
        <f aca="false">D2-C2-B2</f>
        <v>-6892.55976331022</v>
      </c>
      <c r="G2" s="0" t="n">
        <f aca="false">A2/10</f>
        <v>0</v>
      </c>
      <c r="H2" s="1" t="n">
        <f aca="false">627.5*(B2-2*B$1)</f>
        <v>-19.4232591275</v>
      </c>
      <c r="I2" s="1" t="n">
        <f aca="false">627.5*(C2-2*C$1)</f>
        <v>0.134781352499995</v>
      </c>
      <c r="J2" s="1" t="n">
        <f aca="false">627.5*(D2-2*D$1)</f>
        <v>-23.5801340069793</v>
      </c>
      <c r="K2" s="1" t="n">
        <f aca="false">627.5*(E2-2*E$1)</f>
        <v>-4.29165623179188</v>
      </c>
      <c r="L2" s="0" t="n">
        <v>3.992</v>
      </c>
      <c r="M2" s="0" t="n">
        <f aca="false">J2-I2+L2</f>
        <v>-19.7229153594793</v>
      </c>
    </row>
    <row r="3" customFormat="false" ht="12.8" hidden="false" customHeight="false" outlineLevel="0" collapsed="false">
      <c r="A3" s="0" t="n">
        <v>10</v>
      </c>
      <c r="B3" s="0" t="n">
        <v>-0.10407159</v>
      </c>
      <c r="C3" s="0" t="n">
        <v>0.06329087</v>
      </c>
      <c r="D3" s="0" t="n">
        <v>-6892.61504610641</v>
      </c>
      <c r="E3" s="0" t="n">
        <f aca="false">D3-C3-B3</f>
        <v>-6892.57426538641</v>
      </c>
      <c r="G3" s="0" t="n">
        <f aca="false">A3/10</f>
        <v>1</v>
      </c>
      <c r="H3" s="1" t="n">
        <f aca="false">627.5*(B3-2*B$1)</f>
        <v>-19.00813462</v>
      </c>
      <c r="I3" s="1" t="n">
        <f aca="false">627.5*(C3-2*C$1)</f>
        <v>0.108521104999997</v>
      </c>
      <c r="J3" s="1" t="n">
        <f aca="false">627.5*(D3-2*D$1)</f>
        <v>-32.2913225561933</v>
      </c>
      <c r="K3" s="1" t="n">
        <f aca="false">627.5*(E3-2*E$1)</f>
        <v>-13.3917090411319</v>
      </c>
      <c r="L3" s="0" t="n">
        <v>3.854</v>
      </c>
      <c r="M3" s="2" t="n">
        <f aca="false">J3-I3+L3</f>
        <v>-28.5458436611933</v>
      </c>
    </row>
    <row r="4" customFormat="false" ht="12.8" hidden="false" customHeight="false" outlineLevel="0" collapsed="false">
      <c r="A4" s="0" t="n">
        <v>15</v>
      </c>
      <c r="B4" s="0" t="n">
        <v>-0.103277086</v>
      </c>
      <c r="C4" s="0" t="n">
        <v>0.063276869</v>
      </c>
      <c r="D4" s="0" t="n">
        <v>-6892.61927496824</v>
      </c>
      <c r="E4" s="0" t="n">
        <f aca="false">D4-C4-B4</f>
        <v>-6892.57927475124</v>
      </c>
      <c r="G4" s="0" t="n">
        <f aca="false">A4/10</f>
        <v>1.5</v>
      </c>
      <c r="H4" s="1" t="n">
        <f aca="false">627.5*(B4-2*B$1)</f>
        <v>-18.50958336</v>
      </c>
      <c r="I4" s="1" t="n">
        <f aca="false">627.5*(C4-2*C$1)</f>
        <v>0.0997354774999974</v>
      </c>
      <c r="J4" s="1" t="n">
        <f aca="false">627.5*(D4-2*D$1)</f>
        <v>-34.9449333543225</v>
      </c>
      <c r="K4" s="1" t="n">
        <f aca="false">627.5*(E4-2*E$1)</f>
        <v>-16.5350854717531</v>
      </c>
      <c r="L4" s="0" t="n">
        <v>3.756</v>
      </c>
      <c r="M4" s="2" t="n">
        <f aca="false">J4-I4+L4</f>
        <v>-31.2886688318225</v>
      </c>
    </row>
    <row r="5" customFormat="false" ht="12.8" hidden="false" customHeight="false" outlineLevel="0" collapsed="false">
      <c r="A5" s="0" t="n">
        <v>20</v>
      </c>
      <c r="B5" s="0" t="n">
        <v>-0.102223254</v>
      </c>
      <c r="C5" s="0" t="n">
        <v>0.06327837</v>
      </c>
      <c r="D5" s="0" t="n">
        <v>-6892.61757456783</v>
      </c>
      <c r="E5" s="0" t="n">
        <f aca="false">D5-C5-B5</f>
        <v>-6892.57862968383</v>
      </c>
      <c r="G5" s="0" t="n">
        <f aca="false">A5/10</f>
        <v>2</v>
      </c>
      <c r="H5" s="1" t="n">
        <f aca="false">627.5*(B5-2*B$1)</f>
        <v>-17.84830378</v>
      </c>
      <c r="I5" s="1" t="n">
        <f aca="false">627.5*(C5-2*C$1)</f>
        <v>0.100677354999998</v>
      </c>
      <c r="J5" s="1" t="n">
        <f aca="false">627.5*(D5-2*D$1)</f>
        <v>-33.87793209743</v>
      </c>
      <c r="K5" s="1" t="n">
        <f aca="false">627.5*(E5-2*E$1)</f>
        <v>-16.1303056725455</v>
      </c>
      <c r="L5" s="0" t="n">
        <v>3.594</v>
      </c>
      <c r="M5" s="2" t="n">
        <f aca="false">J5-I5+L5</f>
        <v>-30.38460945243</v>
      </c>
    </row>
    <row r="6" customFormat="false" ht="12.8" hidden="false" customHeight="false" outlineLevel="0" collapsed="false">
      <c r="A6" s="0" t="n">
        <v>25</v>
      </c>
      <c r="B6" s="0" t="n">
        <v>-0.100966536</v>
      </c>
      <c r="C6" s="0" t="n">
        <v>0.063277843</v>
      </c>
      <c r="D6" s="0" t="n">
        <v>-6892.61490203371</v>
      </c>
      <c r="E6" s="0" t="n">
        <f aca="false">D6-C6-B6</f>
        <v>-6892.57721334071</v>
      </c>
      <c r="G6" s="0" t="n">
        <f aca="false">A6/10</f>
        <v>2.5</v>
      </c>
      <c r="H6" s="1" t="n">
        <f aca="false">627.5*(B6-2*B$1)</f>
        <v>-17.059713235</v>
      </c>
      <c r="I6" s="1" t="n">
        <f aca="false">627.5*(C6-2*C$1)</f>
        <v>0.100346662499998</v>
      </c>
      <c r="J6" s="1" t="n">
        <f aca="false">627.5*(D6-2*D$1)</f>
        <v>-32.2009169368835</v>
      </c>
      <c r="K6" s="1" t="n">
        <f aca="false">627.5*(E6-2*E$1)</f>
        <v>-15.2415503643806</v>
      </c>
      <c r="L6" s="0" t="n">
        <v>3.38</v>
      </c>
      <c r="M6" s="2" t="n">
        <f aca="false">J6-I6+L6</f>
        <v>-28.9212635993835</v>
      </c>
    </row>
    <row r="7" customFormat="false" ht="12.8" hidden="false" customHeight="false" outlineLevel="0" collapsed="false">
      <c r="A7" s="0" t="n">
        <v>30</v>
      </c>
      <c r="B7" s="0" t="n">
        <v>-0.099573958</v>
      </c>
      <c r="C7" s="0" t="n">
        <v>0.06326555</v>
      </c>
      <c r="D7" s="0" t="n">
        <v>-6892.61399950409</v>
      </c>
      <c r="E7" s="0" t="n">
        <f aca="false">D7-C7-B7</f>
        <v>-6892.57769109609</v>
      </c>
      <c r="G7" s="0" t="n">
        <f aca="false">A7/10</f>
        <v>3</v>
      </c>
      <c r="H7" s="1" t="n">
        <f aca="false">627.5*(B7-2*B$1)</f>
        <v>-16.18587054</v>
      </c>
      <c r="I7" s="1" t="n">
        <f aca="false">627.5*(C7-2*C$1)</f>
        <v>0.092632805</v>
      </c>
      <c r="J7" s="1" t="n">
        <f aca="false">627.5*(D7-2*D$1)</f>
        <v>-31.6345796006772</v>
      </c>
      <c r="K7" s="1" t="n">
        <f aca="false">627.5*(E7-2*E$1)</f>
        <v>-15.5413418655917</v>
      </c>
      <c r="L7" s="0" t="n">
        <v>3.176</v>
      </c>
      <c r="M7" s="2" t="n">
        <f aca="false">J7-I7+L7</f>
        <v>-28.5512124056772</v>
      </c>
    </row>
    <row r="8" customFormat="false" ht="12.8" hidden="false" customHeight="false" outlineLevel="0" collapsed="false">
      <c r="A8" s="0" t="n">
        <v>40</v>
      </c>
      <c r="B8" s="0" t="n">
        <v>-0.096623905</v>
      </c>
      <c r="C8" s="0" t="n">
        <v>0.06324075</v>
      </c>
      <c r="D8" s="0" t="n">
        <v>-6892.61190414306</v>
      </c>
      <c r="E8" s="0" t="n">
        <f aca="false">D8-C8-B8</f>
        <v>-6892.57852098806</v>
      </c>
      <c r="G8" s="0" t="n">
        <f aca="false">A8/10</f>
        <v>4</v>
      </c>
      <c r="H8" s="1" t="n">
        <f aca="false">627.5*(B8-2*B$1)</f>
        <v>-14.3347122825</v>
      </c>
      <c r="I8" s="1" t="n">
        <f aca="false">627.5*(C8-2*C$1)</f>
        <v>0.0770708049999967</v>
      </c>
      <c r="J8" s="1" t="n">
        <f aca="false">627.5*(D8-2*D$1)</f>
        <v>-30.3197405542801</v>
      </c>
      <c r="K8" s="1" t="n">
        <f aca="false">627.5*(E8-2*E$1)</f>
        <v>-16.0620990763027</v>
      </c>
      <c r="L8" s="0" t="n">
        <v>2.786</v>
      </c>
      <c r="M8" s="2" t="n">
        <f aca="false">J8-I8+L8</f>
        <v>-27.6108113592801</v>
      </c>
    </row>
    <row r="9" customFormat="false" ht="12.8" hidden="false" customHeight="false" outlineLevel="0" collapsed="false">
      <c r="A9" s="0" t="n">
        <v>50</v>
      </c>
      <c r="B9" s="0" t="n">
        <v>-0.093719735</v>
      </c>
      <c r="C9" s="0" t="n">
        <v>0.063228014</v>
      </c>
      <c r="D9" s="0" t="n">
        <v>-6892.60485614549</v>
      </c>
      <c r="E9" s="0" t="n">
        <f aca="false">D9-C9-B9</f>
        <v>-6892.57436442449</v>
      </c>
      <c r="G9" s="0" t="n">
        <f aca="false">A9/10</f>
        <v>5</v>
      </c>
      <c r="H9" s="1" t="n">
        <f aca="false">627.5*(B9-2*B$1)</f>
        <v>-12.5123456075</v>
      </c>
      <c r="I9" s="1" t="n">
        <f aca="false">627.5*(C9-2*C$1)</f>
        <v>0.0690789649999971</v>
      </c>
      <c r="J9" s="1" t="n">
        <f aca="false">627.5*(D9-2*D$1)</f>
        <v>-25.8971220789635</v>
      </c>
      <c r="K9" s="1" t="n">
        <f aca="false">627.5*(E9-2*E$1)</f>
        <v>-13.4538554360165</v>
      </c>
      <c r="L9" s="0" t="n">
        <v>2.38</v>
      </c>
      <c r="M9" s="2" t="n">
        <f aca="false">J9-I9+L9</f>
        <v>-23.5862010439635</v>
      </c>
    </row>
    <row r="10" customFormat="false" ht="12.8" hidden="false" customHeight="false" outlineLevel="0" collapsed="false">
      <c r="A10" s="0" t="n">
        <v>60</v>
      </c>
      <c r="B10" s="0" t="n">
        <v>-0.091044664</v>
      </c>
      <c r="C10" s="0" t="n">
        <v>0.063189686</v>
      </c>
      <c r="D10" s="0" t="n">
        <v>-6892.59887058301</v>
      </c>
      <c r="E10" s="0" t="n">
        <f aca="false">D10-C10-B10</f>
        <v>-6892.57101560501</v>
      </c>
      <c r="G10" s="0" t="n">
        <f aca="false">A10/10</f>
        <v>6</v>
      </c>
      <c r="H10" s="1" t="n">
        <f aca="false">627.5*(B10-2*B$1)</f>
        <v>-10.833738555</v>
      </c>
      <c r="I10" s="1" t="n">
        <f aca="false">627.5*(C10-2*C$1)</f>
        <v>0.0450281449999945</v>
      </c>
      <c r="J10" s="1" t="n">
        <f aca="false">627.5*(D10-2*D$1)</f>
        <v>-22.1411816225009</v>
      </c>
      <c r="K10" s="1" t="n">
        <f aca="false">627.5*(E10-2*E$1)</f>
        <v>-11.3524712126491</v>
      </c>
      <c r="L10" s="0" t="n">
        <v>1.986</v>
      </c>
      <c r="M10" s="2" t="n">
        <f aca="false">J10-I10+L10</f>
        <v>-20.2002097675009</v>
      </c>
    </row>
    <row r="11" customFormat="false" ht="12.8" hidden="false" customHeight="false" outlineLevel="0" collapsed="false">
      <c r="A11" s="0" t="n">
        <v>70</v>
      </c>
      <c r="B11" s="0" t="n">
        <v>-0.088631104</v>
      </c>
      <c r="C11" s="0" t="n">
        <v>0.063170157</v>
      </c>
      <c r="D11" s="0" t="n">
        <v>-6892.59530256659</v>
      </c>
      <c r="E11" s="0" t="n">
        <f aca="false">D11-C11-B11</f>
        <v>-6892.56984161959</v>
      </c>
      <c r="G11" s="0" t="n">
        <f aca="false">A11/10</f>
        <v>7</v>
      </c>
      <c r="H11" s="1" t="n">
        <f aca="false">627.5*(B11-2*B$1)</f>
        <v>-9.319229655</v>
      </c>
      <c r="I11" s="1" t="n">
        <f aca="false">627.5*(C11-2*C$1)</f>
        <v>0.0327736975000005</v>
      </c>
      <c r="J11" s="1" t="n">
        <f aca="false">627.5*(D11-2*D$1)</f>
        <v>-19.9022513194564</v>
      </c>
      <c r="K11" s="1" t="n">
        <f aca="false">627.5*(E11-2*E$1)</f>
        <v>-10.615795361673</v>
      </c>
      <c r="L11" s="0" t="n">
        <v>1.862</v>
      </c>
      <c r="M11" s="2" t="n">
        <f aca="false">J11-I11+L11</f>
        <v>-18.0730250169564</v>
      </c>
    </row>
    <row r="12" customFormat="false" ht="12.8" hidden="false" customHeight="false" outlineLevel="0" collapsed="false">
      <c r="A12" s="0" t="n">
        <v>80</v>
      </c>
      <c r="B12" s="0" t="n">
        <v>-0.086442657</v>
      </c>
      <c r="C12" s="0" t="n">
        <v>0.063162912</v>
      </c>
      <c r="D12" s="0" t="n">
        <v>-6892.58736466529</v>
      </c>
      <c r="E12" s="0" t="n">
        <f aca="false">D12-C12-B12</f>
        <v>-6892.56408492029</v>
      </c>
      <c r="G12" s="0" t="n">
        <f aca="false">A12/10</f>
        <v>8</v>
      </c>
      <c r="H12" s="1" t="n">
        <f aca="false">627.5*(B12-2*B$1)</f>
        <v>-7.94597916250001</v>
      </c>
      <c r="I12" s="1" t="n">
        <f aca="false">627.5*(C12-2*C$1)</f>
        <v>0.0282274599999987</v>
      </c>
      <c r="J12" s="1" t="n">
        <f aca="false">627.5*(D12-2*D$1)</f>
        <v>-14.9212182534143</v>
      </c>
      <c r="K12" s="1" t="n">
        <f aca="false">627.5*(E12-2*E$1)</f>
        <v>-7.00346655090016</v>
      </c>
      <c r="L12" s="0" t="n">
        <v>1.456</v>
      </c>
      <c r="M12" s="2" t="n">
        <f aca="false">J12-I12+L12</f>
        <v>-13.4934457134143</v>
      </c>
    </row>
    <row r="13" customFormat="false" ht="12.8" hidden="false" customHeight="false" outlineLevel="0" collapsed="false">
      <c r="A13" s="0" t="n">
        <v>100</v>
      </c>
      <c r="B13" s="0" t="n">
        <v>-0.08253675</v>
      </c>
      <c r="C13" s="0" t="n">
        <v>0.063135754</v>
      </c>
      <c r="D13" s="0" t="n">
        <v>-6892.57827442953</v>
      </c>
      <c r="E13" s="0" t="n">
        <f aca="false">D13-C13-B13</f>
        <v>-6892.55887343353</v>
      </c>
      <c r="G13" s="0" t="n">
        <f aca="false">A13/10</f>
        <v>10</v>
      </c>
      <c r="H13" s="1" t="n">
        <f aca="false">627.5*(B13-2*B$1)</f>
        <v>-5.49502252000001</v>
      </c>
      <c r="I13" s="1" t="n">
        <f aca="false">627.5*(C13-2*C$1)</f>
        <v>0.0111858149999991</v>
      </c>
      <c r="J13" s="1" t="n">
        <f aca="false">627.5*(D13-2*D$1)</f>
        <v>-9.21709531421129</v>
      </c>
      <c r="K13" s="1" t="n">
        <f aca="false">627.5*(E13-2*E$1)</f>
        <v>-3.73325860878367</v>
      </c>
      <c r="L13" s="0" t="n">
        <v>0.758</v>
      </c>
      <c r="M13" s="2" t="n">
        <f aca="false">J13-I13+L13</f>
        <v>-8.47028112921129</v>
      </c>
    </row>
    <row r="14" customFormat="false" ht="12.8" hidden="false" customHeight="false" outlineLevel="0" collapsed="false">
      <c r="A14" s="0" t="n">
        <v>120</v>
      </c>
      <c r="B14" s="0" t="n">
        <v>-0.079224506</v>
      </c>
      <c r="C14" s="0" t="n">
        <v>0.063123244</v>
      </c>
      <c r="D14" s="0" t="n">
        <v>-6892.57211642988</v>
      </c>
      <c r="E14" s="0" t="n">
        <f aca="false">D14-C14-B14</f>
        <v>-6892.55601516788</v>
      </c>
      <c r="G14" s="0" t="n">
        <f aca="false">A14/10</f>
        <v>12</v>
      </c>
      <c r="H14" s="1" t="n">
        <f aca="false">627.5*(B14-2*B$1)</f>
        <v>-3.41658941</v>
      </c>
      <c r="I14" s="1" t="n">
        <f aca="false">627.5*(C14-2*C$1)</f>
        <v>0.00333578999999456</v>
      </c>
      <c r="J14" s="1" t="n">
        <f aca="false">627.5*(D14-2*D$1)</f>
        <v>-5.35295053384516</v>
      </c>
      <c r="K14" s="1" t="n">
        <f aca="false">627.5*(E14-2*E$1)</f>
        <v>-1.93969691366419</v>
      </c>
      <c r="L14" s="0" t="n">
        <v>0.344</v>
      </c>
      <c r="M14" s="2" t="n">
        <f aca="false">J14-I14+L14</f>
        <v>-5.01228632384515</v>
      </c>
    </row>
    <row r="15" customFormat="false" ht="12.8" hidden="false" customHeight="false" outlineLevel="0" collapsed="false">
      <c r="A15" s="0" t="n">
        <v>140</v>
      </c>
      <c r="B15" s="0" t="n">
        <v>-0.076648971</v>
      </c>
      <c r="C15" s="0" t="n">
        <v>0.063120902</v>
      </c>
      <c r="D15" s="0" t="n">
        <v>-6892.56847957227</v>
      </c>
      <c r="E15" s="0" t="n">
        <f aca="false">D15-C15-B15</f>
        <v>-6892.55495150327</v>
      </c>
      <c r="G15" s="0" t="n">
        <f aca="false">A15/10</f>
        <v>14</v>
      </c>
      <c r="H15" s="1" t="n">
        <f aca="false">627.5*(B15-2*B$1)</f>
        <v>-1.8004411975</v>
      </c>
      <c r="I15" s="1" t="n">
        <f aca="false">627.5*(C15-2*C$1)</f>
        <v>0.00186618500000176</v>
      </c>
      <c r="J15" s="1" t="n">
        <f aca="false">627.5*(D15-2*D$1)</f>
        <v>-3.07082238343355</v>
      </c>
      <c r="K15" s="1" t="n">
        <f aca="false">627.5*(E15-2*E$1)</f>
        <v>-1.27224737074584</v>
      </c>
    </row>
    <row r="16" customFormat="false" ht="12.8" hidden="false" customHeight="false" outlineLevel="0" collapsed="false">
      <c r="A16" s="0" t="n">
        <v>160</v>
      </c>
      <c r="B16" s="0" t="n">
        <v>-0.074975989</v>
      </c>
      <c r="C16" s="0" t="n">
        <v>0.063118499</v>
      </c>
      <c r="D16" s="0" t="n">
        <v>-6892.56577465964</v>
      </c>
      <c r="E16" s="0" t="n">
        <f aca="false">D16-C16-B16</f>
        <v>-6892.55391716964</v>
      </c>
      <c r="G16" s="0" t="n">
        <f aca="false">A16/10</f>
        <v>16</v>
      </c>
      <c r="H16" s="1" t="n">
        <f aca="false">627.5*(B16-2*B$1)</f>
        <v>-0.750644992500007</v>
      </c>
      <c r="I16" s="1" t="n">
        <f aca="false">627.5*(C16-2*C$1)</f>
        <v>0.00035830249999428</v>
      </c>
      <c r="J16" s="1" t="n">
        <f aca="false">627.5*(D16-2*D$1)</f>
        <v>-1.37348970799621</v>
      </c>
      <c r="K16" s="1" t="n">
        <f aca="false">627.5*(E16-2*E$1)</f>
        <v>-0.62320301745558</v>
      </c>
    </row>
    <row r="17" customFormat="false" ht="12.8" hidden="false" customHeight="false" outlineLevel="0" collapsed="false">
      <c r="A17" s="0" t="n">
        <v>180</v>
      </c>
      <c r="B17" s="0" t="n">
        <v>-0.074199005</v>
      </c>
      <c r="C17" s="0" t="n">
        <v>0.06311793</v>
      </c>
      <c r="D17" s="0" t="n">
        <v>-6892.56413051096</v>
      </c>
      <c r="E17" s="0" t="n">
        <f aca="false">D17-C17-B17</f>
        <v>-6892.55304943596</v>
      </c>
      <c r="G17" s="0" t="n">
        <f aca="false">A17/10</f>
        <v>18</v>
      </c>
      <c r="H17" s="1" t="n">
        <f aca="false">627.5*(B17-2*B$1)</f>
        <v>-0.263087532500002</v>
      </c>
      <c r="I17" s="1" t="n">
        <f aca="false">627.5*(C17-2*C$1)</f>
        <v>1.25499999933942E-006</v>
      </c>
      <c r="J17" s="1" t="n">
        <f aca="false">627.5*(D17-2*D$1)</f>
        <v>-0.341786411554494</v>
      </c>
      <c r="K17" s="1" t="n">
        <f aca="false">627.5*(E17-2*E$1)</f>
        <v>-0.0787001338107984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en-IE</dc:language>
  <cp:lastModifiedBy/>
  <dcterms:modified xsi:type="dcterms:W3CDTF">2026-05-21T05:56:04Z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